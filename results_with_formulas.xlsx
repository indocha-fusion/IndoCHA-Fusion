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wifb\Desktop\DWI BRIANNA\S3\SMT 2\TOPIK KHUSUS\Jurnal\Dataset\Dataset\"/>
    </mc:Choice>
  </mc:AlternateContent>
  <xr:revisionPtr revIDLastSave="0" documentId="8_{9541E4C5-4BC8-4FCE-8D40-EE197530C9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lts Comparison" sheetId="1" r:id="rId1"/>
    <sheet name="Ablation Stud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B16" i="2"/>
  <c r="C15" i="2"/>
  <c r="B15" i="2"/>
  <c r="C14" i="2"/>
  <c r="B14" i="2"/>
  <c r="C13" i="2"/>
  <c r="B13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<sst xmlns="http://schemas.openxmlformats.org/spreadsheetml/2006/main" count="48" uniqueCount="43">
  <si>
    <t>Table 3. Performance Comparison on Test Set (n = 75)</t>
  </si>
  <si>
    <t>Model</t>
  </si>
  <si>
    <t>Accuracy</t>
  </si>
  <si>
    <t>F1-Score (Macro)</t>
  </si>
  <si>
    <t>Precision</t>
  </si>
  <si>
    <t>Recall</t>
  </si>
  <si>
    <t>Code-Switch Accuracy</t>
  </si>
  <si>
    <t>Implicit Sentiment Accuracy</t>
  </si>
  <si>
    <t>IndoBERT-base (Unimodal)</t>
  </si>
  <si>
    <t>Self-MM (Self-supervised Multi-task)</t>
  </si>
  <si>
    <t>MMIM (Multimodal InfoMax)</t>
  </si>
  <si>
    <t>MISA</t>
  </si>
  <si>
    <t>LFD-RT [29]</t>
  </si>
  <si>
    <t>Cendol [30]</t>
  </si>
  <si>
    <t>IndoCHA-Fusion (Proposed)</t>
  </si>
  <si>
    <t>Computed Gains vs MISA (IndoCHA-Fusion − MISA)</t>
  </si>
  <si>
    <t>Metric</t>
  </si>
  <si>
    <t>Code-Switch Acc.</t>
  </si>
  <si>
    <t>Implicit Sent. Acc.</t>
  </si>
  <si>
    <t>Absolute Gain (pp)</t>
  </si>
  <si>
    <t>Relative Gain (%)</t>
  </si>
  <si>
    <t>MAX (Best Model)</t>
  </si>
  <si>
    <t>MIN (Weakest Model)</t>
  </si>
  <si>
    <t>AVERAGE (All Models)</t>
  </si>
  <si>
    <t>RANK IndoCHA-Fusion</t>
  </si>
  <si>
    <t>Table 4. Ablation Study – IndoCHA-Fusion Component Contributions</t>
  </si>
  <si>
    <t>Configuration</t>
  </si>
  <si>
    <t>F1-Score</t>
  </si>
  <si>
    <t>Δ Accuracy</t>
  </si>
  <si>
    <t>Δ F1</t>
  </si>
  <si>
    <t>IndoCHA-Fusion (Full)</t>
  </si>
  <si>
    <t>w/o Cultural Context Extractor</t>
  </si>
  <si>
    <t>w/o Code-Switching Handler</t>
  </si>
  <si>
    <t>w/o Morphological Attention</t>
  </si>
  <si>
    <t>w/o Audio Encoder</t>
  </si>
  <si>
    <t>w/o Visual Encoder</t>
  </si>
  <si>
    <t>Text-only (IndoBERT-base)</t>
  </si>
  <si>
    <t>Auto-inferred cultural features (deploy)</t>
  </si>
  <si>
    <t>Summary Statistics</t>
  </si>
  <si>
    <t>Best Accuracy (MAX)</t>
  </si>
  <si>
    <t>Worst Accuracy (MIN)</t>
  </si>
  <si>
    <t>Range (MAX-MIN)</t>
  </si>
  <si>
    <t>Largest Drop (MIN Δ Acc)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</si>
</sst>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\+0.000;\-0.000;\-"/>
    <numFmt numFmtId="166" formatCode="\+0.00;\-0.00;\-"/>
    <numFmt numFmtId="167" formatCode="\+0.000;\-0.000;\–"/>
  </numFmts>
  <fonts count="9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  <fill>
      <patternFill patternType="solid">
        <fgColor rgb="FFE2EFDA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6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167" fontId="8" fillId="3" borderId="1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Normal="100" workbookViewId="0">
      <selection activeCell="A20" sqref="A20"/>
    </sheetView>
  </sheetViews>
  <sheetFormatPr defaultColWidth="8.6640625" defaultRowHeight="14.4" x14ac:dyDescent="0.3"/>
  <cols>
    <col min="1" max="1" width="38" customWidth="1"/>
    <col min="2" max="7" width="16" customWidth="1"/>
  </cols>
  <sheetData>
    <row r="1" spans="1:7" ht="21.75" customHeight="1" x14ac:dyDescent="0.3">
      <c r="A1" s="2" t="s">
        <v>0</v>
      </c>
      <c r="B1" s="2"/>
      <c r="C1" s="2"/>
      <c r="D1" s="2"/>
      <c r="E1" s="2"/>
      <c r="F1" s="2"/>
      <c r="G1" s="2"/>
    </row>
    <row r="2" spans="1:7" ht="18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8" customHeight="1" x14ac:dyDescent="0.3">
      <c r="A3" s="4" t="s">
        <v>8</v>
      </c>
      <c r="B3" s="5">
        <v>0.78200000000000003</v>
      </c>
      <c r="C3" s="5">
        <v>0.77800000000000002</v>
      </c>
      <c r="D3" s="5">
        <v>0.78</v>
      </c>
      <c r="E3" s="5">
        <v>0.78200000000000003</v>
      </c>
      <c r="F3" s="5">
        <v>0.74099999999999999</v>
      </c>
      <c r="G3" s="5">
        <v>0.69299999999999995</v>
      </c>
    </row>
    <row r="4" spans="1:7" ht="18" customHeight="1" x14ac:dyDescent="0.3">
      <c r="A4" s="4" t="s">
        <v>9</v>
      </c>
      <c r="B4" s="5">
        <v>0.79800000000000004</v>
      </c>
      <c r="C4" s="5">
        <v>0.79500000000000004</v>
      </c>
      <c r="D4" s="5">
        <v>0.79700000000000004</v>
      </c>
      <c r="E4" s="5">
        <v>0.79800000000000004</v>
      </c>
      <c r="F4" s="5">
        <v>0.77100000000000002</v>
      </c>
      <c r="G4" s="5">
        <v>0.71199999999999997</v>
      </c>
    </row>
    <row r="5" spans="1:7" ht="18" customHeight="1" x14ac:dyDescent="0.3">
      <c r="A5" s="4" t="s">
        <v>10</v>
      </c>
      <c r="B5" s="5">
        <v>0.81299999999999994</v>
      </c>
      <c r="C5" s="5">
        <v>0.81</v>
      </c>
      <c r="D5" s="5">
        <v>0.81200000000000006</v>
      </c>
      <c r="E5" s="5">
        <v>0.81299999999999994</v>
      </c>
      <c r="F5" s="5">
        <v>0.78600000000000003</v>
      </c>
      <c r="G5" s="5">
        <v>0.72399999999999998</v>
      </c>
    </row>
    <row r="6" spans="1:7" ht="18" customHeight="1" x14ac:dyDescent="0.3">
      <c r="A6" s="4" t="s">
        <v>11</v>
      </c>
      <c r="B6" s="5">
        <v>0.82099999999999995</v>
      </c>
      <c r="C6" s="5">
        <v>0.81699999999999995</v>
      </c>
      <c r="D6" s="5">
        <v>0.81899999999999995</v>
      </c>
      <c r="E6" s="5">
        <v>0.82099999999999995</v>
      </c>
      <c r="F6" s="5">
        <v>0.79300000000000004</v>
      </c>
      <c r="G6" s="5">
        <v>0.73099999999999998</v>
      </c>
    </row>
    <row r="7" spans="1:7" ht="18" customHeight="1" x14ac:dyDescent="0.3">
      <c r="A7" s="4" t="s">
        <v>12</v>
      </c>
      <c r="B7" s="5">
        <v>0.83199999999999996</v>
      </c>
      <c r="C7" s="5">
        <v>0.82799999999999996</v>
      </c>
      <c r="D7" s="5">
        <v>0.83099999999999996</v>
      </c>
      <c r="E7" s="5">
        <v>0.83199999999999996</v>
      </c>
      <c r="F7" s="5">
        <v>0.80400000000000005</v>
      </c>
      <c r="G7" s="5">
        <v>0.752</v>
      </c>
    </row>
    <row r="8" spans="1:7" ht="18" customHeight="1" x14ac:dyDescent="0.3">
      <c r="A8" s="4" t="s">
        <v>13</v>
      </c>
      <c r="B8" s="5">
        <v>0.83499999999999996</v>
      </c>
      <c r="C8" s="5">
        <v>0.83099999999999996</v>
      </c>
      <c r="D8" s="5">
        <v>0.83399999999999996</v>
      </c>
      <c r="E8" s="5">
        <v>0.83499999999999996</v>
      </c>
      <c r="F8" s="5">
        <v>0.81399999999999995</v>
      </c>
      <c r="G8" s="5">
        <v>0.76900000000000002</v>
      </c>
    </row>
    <row r="9" spans="1:7" ht="18" customHeight="1" x14ac:dyDescent="0.3">
      <c r="A9" s="6" t="s">
        <v>14</v>
      </c>
      <c r="B9" s="7">
        <v>0.873</v>
      </c>
      <c r="C9" s="7">
        <v>0.86899999999999999</v>
      </c>
      <c r="D9" s="7">
        <v>0.871</v>
      </c>
      <c r="E9" s="7">
        <v>0.873</v>
      </c>
      <c r="F9" s="7">
        <v>0.85099999999999998</v>
      </c>
      <c r="G9" s="7">
        <v>0.81200000000000006</v>
      </c>
    </row>
    <row r="10" spans="1:7" ht="18" customHeight="1" x14ac:dyDescent="0.3"/>
    <row r="11" spans="1:7" ht="18" customHeight="1" x14ac:dyDescent="0.3">
      <c r="A11" s="1" t="s">
        <v>15</v>
      </c>
      <c r="B11" s="1"/>
      <c r="C11" s="1"/>
      <c r="D11" s="1"/>
      <c r="E11" s="1"/>
      <c r="F11" s="1"/>
      <c r="G11" s="1"/>
    </row>
    <row r="12" spans="1:7" ht="18" customHeight="1" x14ac:dyDescent="0.3">
      <c r="A12" s="8" t="s">
        <v>16</v>
      </c>
      <c r="B12" s="8" t="s">
        <v>2</v>
      </c>
      <c r="C12" s="8" t="s">
        <v>3</v>
      </c>
      <c r="D12" s="8" t="s">
        <v>4</v>
      </c>
      <c r="E12" s="8" t="s">
        <v>5</v>
      </c>
      <c r="F12" s="8" t="s">
        <v>17</v>
      </c>
      <c r="G12" s="8" t="s">
        <v>18</v>
      </c>
    </row>
    <row r="13" spans="1:7" ht="18" customHeight="1" x14ac:dyDescent="0.3">
      <c r="A13" s="9" t="s">
        <v>19</v>
      </c>
      <c r="B13" s="10">
        <f t="shared" ref="B13:G13" si="0">B9-B6</f>
        <v>5.2000000000000046E-2</v>
      </c>
      <c r="C13" s="10">
        <f t="shared" si="0"/>
        <v>5.2000000000000046E-2</v>
      </c>
      <c r="D13" s="10">
        <f t="shared" si="0"/>
        <v>5.2000000000000046E-2</v>
      </c>
      <c r="E13" s="10">
        <f t="shared" si="0"/>
        <v>5.2000000000000046E-2</v>
      </c>
      <c r="F13" s="10">
        <f t="shared" si="0"/>
        <v>5.799999999999994E-2</v>
      </c>
      <c r="G13" s="10">
        <f t="shared" si="0"/>
        <v>8.1000000000000072E-2</v>
      </c>
    </row>
    <row r="14" spans="1:7" ht="18" customHeight="1" x14ac:dyDescent="0.3">
      <c r="A14" s="9" t="s">
        <v>20</v>
      </c>
      <c r="B14" s="11">
        <f t="shared" ref="B14:G14" si="1">(B9-B6)/B6*100</f>
        <v>6.3337393422655364</v>
      </c>
      <c r="C14" s="11">
        <f t="shared" si="1"/>
        <v>6.36474908200735</v>
      </c>
      <c r="D14" s="11">
        <f t="shared" si="1"/>
        <v>6.349206349206356</v>
      </c>
      <c r="E14" s="11">
        <f t="shared" si="1"/>
        <v>6.3337393422655364</v>
      </c>
      <c r="F14" s="11">
        <f t="shared" si="1"/>
        <v>7.3139974779318964</v>
      </c>
      <c r="G14" s="11">
        <f t="shared" si="1"/>
        <v>11.080711354309175</v>
      </c>
    </row>
    <row r="15" spans="1:7" ht="18" customHeight="1" x14ac:dyDescent="0.3">
      <c r="A15" s="9" t="s">
        <v>21</v>
      </c>
      <c r="B15" s="12">
        <f t="shared" ref="B15:G15" si="2">MAX(B3:B9)</f>
        <v>0.873</v>
      </c>
      <c r="C15" s="12">
        <f t="shared" si="2"/>
        <v>0.86899999999999999</v>
      </c>
      <c r="D15" s="12">
        <f t="shared" si="2"/>
        <v>0.871</v>
      </c>
      <c r="E15" s="12">
        <f t="shared" si="2"/>
        <v>0.873</v>
      </c>
      <c r="F15" s="12">
        <f t="shared" si="2"/>
        <v>0.85099999999999998</v>
      </c>
      <c r="G15" s="12">
        <f t="shared" si="2"/>
        <v>0.81200000000000006</v>
      </c>
    </row>
    <row r="16" spans="1:7" ht="18" customHeight="1" x14ac:dyDescent="0.3">
      <c r="A16" s="9" t="s">
        <v>22</v>
      </c>
      <c r="B16" s="13">
        <f t="shared" ref="B16:G16" si="3">MIN(B3:B9)</f>
        <v>0.78200000000000003</v>
      </c>
      <c r="C16" s="13">
        <f t="shared" si="3"/>
        <v>0.77800000000000002</v>
      </c>
      <c r="D16" s="13">
        <f t="shared" si="3"/>
        <v>0.78</v>
      </c>
      <c r="E16" s="13">
        <f t="shared" si="3"/>
        <v>0.78200000000000003</v>
      </c>
      <c r="F16" s="13">
        <f t="shared" si="3"/>
        <v>0.74099999999999999</v>
      </c>
      <c r="G16" s="13">
        <f t="shared" si="3"/>
        <v>0.69299999999999995</v>
      </c>
    </row>
    <row r="17" spans="1:7" ht="18" customHeight="1" x14ac:dyDescent="0.3">
      <c r="A17" s="9" t="s">
        <v>23</v>
      </c>
      <c r="B17" s="13">
        <f t="shared" ref="B17:G17" si="4">AVERAGE(B3:B9)</f>
        <v>0.82199999999999995</v>
      </c>
      <c r="C17" s="13">
        <f t="shared" si="4"/>
        <v>0.81828571428571428</v>
      </c>
      <c r="D17" s="13">
        <f t="shared" si="4"/>
        <v>0.82057142857142851</v>
      </c>
      <c r="E17" s="13">
        <f t="shared" si="4"/>
        <v>0.82199999999999995</v>
      </c>
      <c r="F17" s="13">
        <f t="shared" si="4"/>
        <v>0.79428571428571437</v>
      </c>
      <c r="G17" s="13">
        <f t="shared" si="4"/>
        <v>0.74185714285714277</v>
      </c>
    </row>
    <row r="18" spans="1:7" ht="18" customHeight="1" x14ac:dyDescent="0.3">
      <c r="A18" s="9" t="s">
        <v>24</v>
      </c>
      <c r="B18" s="14">
        <f t="shared" ref="B18:G18" si="5">RANK(B9,B3:B9,0)</f>
        <v>1</v>
      </c>
      <c r="C18" s="14">
        <f t="shared" si="5"/>
        <v>1</v>
      </c>
      <c r="D18" s="14">
        <f t="shared" si="5"/>
        <v>1</v>
      </c>
      <c r="E18" s="14">
        <f t="shared" si="5"/>
        <v>1</v>
      </c>
      <c r="F18" s="14">
        <f t="shared" si="5"/>
        <v>1</v>
      </c>
      <c r="G18" s="14">
        <f t="shared" si="5"/>
        <v>1</v>
      </c>
    </row>
  </sheetData>
  <mergeCells count="2">
    <mergeCell ref="A1:G1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A14" sqref="A14"/>
    </sheetView>
  </sheetViews>
  <sheetFormatPr defaultColWidth="8.6640625" defaultRowHeight="14.4" x14ac:dyDescent="0.3"/>
  <cols>
    <col min="1" max="1" width="40" customWidth="1"/>
    <col min="2" max="5" width="16" customWidth="1"/>
  </cols>
  <sheetData>
    <row r="1" spans="1:5" ht="21.75" customHeight="1" x14ac:dyDescent="0.3">
      <c r="A1" s="2" t="s">
        <v>25</v>
      </c>
      <c r="B1" s="2"/>
      <c r="C1" s="2"/>
      <c r="D1" s="2"/>
      <c r="E1" s="2"/>
    </row>
    <row r="2" spans="1:5" ht="18" customHeight="1" x14ac:dyDescent="0.3">
      <c r="A2" s="3" t="s">
        <v>26</v>
      </c>
      <c r="B2" s="3" t="s">
        <v>2</v>
      </c>
      <c r="C2" s="3" t="s">
        <v>27</v>
      </c>
      <c r="D2" s="3" t="s">
        <v>28</v>
      </c>
      <c r="E2" s="3" t="s">
        <v>29</v>
      </c>
    </row>
    <row r="3" spans="1:5" ht="18" customHeight="1" x14ac:dyDescent="0.3">
      <c r="A3" s="6" t="s">
        <v>30</v>
      </c>
      <c r="B3" s="7">
        <v>0.873</v>
      </c>
      <c r="C3" s="7">
        <v>0.86899999999999999</v>
      </c>
      <c r="D3" s="15">
        <v>0</v>
      </c>
      <c r="E3" s="15">
        <v>0</v>
      </c>
    </row>
    <row r="4" spans="1:5" ht="18" customHeight="1" x14ac:dyDescent="0.3">
      <c r="A4" s="4" t="s">
        <v>31</v>
      </c>
      <c r="B4" s="5">
        <v>0.84099999999999997</v>
      </c>
      <c r="C4" s="5">
        <v>0.83599999999999997</v>
      </c>
      <c r="D4" s="16">
        <f>B4-B3</f>
        <v>-3.2000000000000028E-2</v>
      </c>
      <c r="E4" s="16">
        <f>C4-C3</f>
        <v>-3.3000000000000029E-2</v>
      </c>
    </row>
    <row r="5" spans="1:5" ht="18" customHeight="1" x14ac:dyDescent="0.3">
      <c r="A5" s="4" t="s">
        <v>32</v>
      </c>
      <c r="B5" s="5">
        <v>0.83199999999999996</v>
      </c>
      <c r="C5" s="5">
        <v>0.82699999999999996</v>
      </c>
      <c r="D5" s="16">
        <f>B5-B3</f>
        <v>-4.1000000000000036E-2</v>
      </c>
      <c r="E5" s="16">
        <f>C5-C3</f>
        <v>-4.2000000000000037E-2</v>
      </c>
    </row>
    <row r="6" spans="1:5" ht="18" customHeight="1" x14ac:dyDescent="0.3">
      <c r="A6" s="4" t="s">
        <v>33</v>
      </c>
      <c r="B6" s="5">
        <v>0.84799999999999998</v>
      </c>
      <c r="C6" s="5">
        <v>0.84299999999999997</v>
      </c>
      <c r="D6" s="16">
        <f>B6-B3</f>
        <v>-2.5000000000000022E-2</v>
      </c>
      <c r="E6" s="16">
        <f>C6-C3</f>
        <v>-2.6000000000000023E-2</v>
      </c>
    </row>
    <row r="7" spans="1:5" ht="18" customHeight="1" x14ac:dyDescent="0.3">
      <c r="A7" s="4" t="s">
        <v>34</v>
      </c>
      <c r="B7" s="5">
        <v>0.85099999999999998</v>
      </c>
      <c r="C7" s="5">
        <v>0.84699999999999998</v>
      </c>
      <c r="D7" s="16">
        <f>B7-B3</f>
        <v>-2.200000000000002E-2</v>
      </c>
      <c r="E7" s="16">
        <f>C7-C3</f>
        <v>-2.200000000000002E-2</v>
      </c>
    </row>
    <row r="8" spans="1:5" ht="18" customHeight="1" x14ac:dyDescent="0.3">
      <c r="A8" s="4" t="s">
        <v>35</v>
      </c>
      <c r="B8" s="5">
        <v>0.85499999999999998</v>
      </c>
      <c r="C8" s="5">
        <v>0.85099999999999998</v>
      </c>
      <c r="D8" s="16">
        <f>B8-B3</f>
        <v>-1.8000000000000016E-2</v>
      </c>
      <c r="E8" s="16">
        <f>C8-C3</f>
        <v>-1.8000000000000016E-2</v>
      </c>
    </row>
    <row r="9" spans="1:5" ht="18" customHeight="1" x14ac:dyDescent="0.3">
      <c r="A9" s="4" t="s">
        <v>36</v>
      </c>
      <c r="B9" s="5">
        <v>0.78200000000000003</v>
      </c>
      <c r="C9" s="5">
        <v>0.77800000000000002</v>
      </c>
      <c r="D9" s="16">
        <f>B9-B3</f>
        <v>-9.099999999999997E-2</v>
      </c>
      <c r="E9" s="16">
        <f>C9-C3</f>
        <v>-9.099999999999997E-2</v>
      </c>
    </row>
    <row r="10" spans="1:5" ht="18" customHeight="1" x14ac:dyDescent="0.3">
      <c r="A10" s="4" t="s">
        <v>37</v>
      </c>
      <c r="B10" s="5">
        <v>0.86399999999999999</v>
      </c>
      <c r="C10" s="5">
        <v>0.86099999999999999</v>
      </c>
      <c r="D10" s="16">
        <f>B10-B3</f>
        <v>-9.000000000000008E-3</v>
      </c>
      <c r="E10" s="16">
        <f>C10-C3</f>
        <v>-8.0000000000000071E-3</v>
      </c>
    </row>
    <row r="11" spans="1:5" ht="18" customHeight="1" x14ac:dyDescent="0.3"/>
    <row r="12" spans="1:5" ht="18" customHeight="1" x14ac:dyDescent="0.3">
      <c r="A12" s="1" t="s">
        <v>38</v>
      </c>
      <c r="B12" s="1"/>
      <c r="C12" s="1"/>
      <c r="D12" s="1"/>
      <c r="E12" s="1"/>
    </row>
    <row r="13" spans="1:5" ht="18" customHeight="1" x14ac:dyDescent="0.3">
      <c r="A13" s="9" t="s">
        <v>39</v>
      </c>
      <c r="B13" s="13">
        <f>MAX(B3:B10)</f>
        <v>0.873</v>
      </c>
      <c r="C13" s="13">
        <f>MAX(C3:C10)</f>
        <v>0.86899999999999999</v>
      </c>
      <c r="D13" s="17"/>
      <c r="E13" s="17"/>
    </row>
    <row r="14" spans="1:5" ht="18" customHeight="1" x14ac:dyDescent="0.3">
      <c r="A14" s="9" t="s">
        <v>40</v>
      </c>
      <c r="B14" s="13">
        <f>MIN(B3:B10)</f>
        <v>0.78200000000000003</v>
      </c>
      <c r="C14" s="13">
        <f>MIN(C3:C10)</f>
        <v>0.77800000000000002</v>
      </c>
      <c r="D14" s="17"/>
      <c r="E14" s="17"/>
    </row>
    <row r="15" spans="1:5" ht="18" customHeight="1" x14ac:dyDescent="0.3">
      <c r="A15" s="9" t="s">
        <v>41</v>
      </c>
      <c r="B15" s="13">
        <f>MAX(B3:B10)-MIN(B3:B10)</f>
        <v>9.099999999999997E-2</v>
      </c>
      <c r="C15" s="13">
        <f>MAX(C3:C10)-MIN(C3:C10)</f>
        <v>9.099999999999997E-2</v>
      </c>
      <c r="D15" s="17"/>
      <c r="E15" s="17"/>
    </row>
    <row r="16" spans="1:5" ht="18" customHeight="1" x14ac:dyDescent="0.3">
      <c r="A16" s="9" t="s">
        <v>42</v>
      </c>
      <c r="B16" s="13">
        <f>MIN(D3:D10)</f>
        <v>-9.099999999999997E-2</v>
      </c>
      <c r="C16" s="13">
        <f>MIN(E3:E10)</f>
        <v>-9.099999999999997E-2</v>
      </c>
      <c r="D16" s="17"/>
      <c r="E16" s="17"/>
    </row>
  </sheetData>
  <mergeCells count="2">
    <mergeCell ref="A1:E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Comparison</vt:lpstr>
      <vt:lpstr>Ablation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SELLY MARSELINA</cp:lastModifiedBy>
  <cp:revision>0</cp:revision>
  <dcterms:created xsi:type="dcterms:W3CDTF">2026-06-13T14:15:28Z</dcterms:created>
  <dcterms:modified xsi:type="dcterms:W3CDTF">2026-06-13T14:16:58Z</dcterms:modified>
  <dc:language>en-US</dc:language>
</cp:coreProperties>
</file>